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4DD13E90-FBAD-464E-96F3-DC3E8179B5F9}" xr6:coauthVersionLast="47" xr6:coauthVersionMax="47" xr10:uidLastSave="{00000000-0000-0000-0000-000000000000}"/>
  <bookViews>
    <workbookView xWindow="-120" yWindow="-120" windowWidth="29040" windowHeight="15720" xr2:uid="{EE6994BC-F56A-4ED0-93D7-0B7C51FE3E8B}"/>
  </bookViews>
  <sheets>
    <sheet name="Abril" sheetId="7" r:id="rId1"/>
  </sheets>
  <definedNames>
    <definedName name="_xlnm._FilterDatabase" localSheetId="0" hidden="1">Abril!$A$2:$D$26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7" l="1"/>
  <c r="B34" i="7"/>
  <c r="B19" i="7"/>
  <c r="B40" i="7" l="1"/>
  <c r="B37" i="7"/>
  <c r="J6" i="7"/>
  <c r="J4" i="7"/>
  <c r="J3" i="7"/>
  <c r="B18" i="7"/>
  <c r="G23" i="7" s="1"/>
  <c r="G2" i="7"/>
  <c r="G5" i="7" s="1"/>
  <c r="B52" i="7"/>
  <c r="B23" i="7"/>
  <c r="G22" i="7" s="1"/>
  <c r="B16" i="7"/>
  <c r="G15" i="7"/>
  <c r="N14" i="7"/>
  <c r="N18" i="7" s="1"/>
  <c r="N11" i="7"/>
  <c r="N12" i="7" s="1"/>
  <c r="J10" i="7"/>
  <c r="J9" i="7"/>
  <c r="J8" i="7"/>
  <c r="M7" i="7"/>
  <c r="L7" i="7"/>
  <c r="N7" i="7" s="1"/>
  <c r="J5" i="7"/>
  <c r="L4" i="7"/>
  <c r="N4" i="7" s="1"/>
  <c r="B3" i="7"/>
  <c r="J7" i="7" l="1"/>
  <c r="G24" i="7"/>
  <c r="G9" i="7"/>
  <c r="M4" i="7"/>
  <c r="B8" i="7"/>
  <c r="B27" i="7"/>
  <c r="B28" i="7" s="1"/>
  <c r="B41" i="7" l="1"/>
  <c r="G8" i="7"/>
  <c r="G10" i="7" s="1"/>
  <c r="G17" i="7" s="1"/>
</calcChain>
</file>

<file path=xl/sharedStrings.xml><?xml version="1.0" encoding="utf-8"?>
<sst xmlns="http://schemas.openxmlformats.org/spreadsheetml/2006/main" count="170" uniqueCount="81">
  <si>
    <t>Descrição</t>
  </si>
  <si>
    <t xml:space="preserve">Valor </t>
  </si>
  <si>
    <t xml:space="preserve">Categoria </t>
  </si>
  <si>
    <t>Até quando</t>
  </si>
  <si>
    <t>Academia</t>
  </si>
  <si>
    <t>Saude</t>
  </si>
  <si>
    <t>-</t>
  </si>
  <si>
    <t xml:space="preserve">Airbnb RIO </t>
  </si>
  <si>
    <t>Plano Luke</t>
  </si>
  <si>
    <t>google</t>
  </si>
  <si>
    <t>IPVA</t>
  </si>
  <si>
    <t>apple</t>
  </si>
  <si>
    <t>Aviva</t>
  </si>
  <si>
    <t>Viagem</t>
  </si>
  <si>
    <t>Amazon</t>
  </si>
  <si>
    <t>Seguro do carro</t>
  </si>
  <si>
    <t>Apple TV</t>
  </si>
  <si>
    <t>Complemento Carro</t>
  </si>
  <si>
    <t>ingles</t>
  </si>
  <si>
    <t>TOTAL</t>
  </si>
  <si>
    <t xml:space="preserve">depilação laser </t>
  </si>
  <si>
    <t>presente mãe - Nelson</t>
  </si>
  <si>
    <t>Pai (carro)</t>
  </si>
  <si>
    <t>Mae</t>
  </si>
  <si>
    <t>Nelson</t>
  </si>
  <si>
    <t>remedios/saude</t>
  </si>
  <si>
    <t>Kelen</t>
  </si>
  <si>
    <t>Uber</t>
  </si>
  <si>
    <t>RECEITAS</t>
  </si>
  <si>
    <t>Marselha</t>
  </si>
  <si>
    <t>Lisboa</t>
  </si>
  <si>
    <t>GASTOS</t>
  </si>
  <si>
    <t>Parcela Marselha</t>
  </si>
  <si>
    <t>Boletão Marselha</t>
  </si>
  <si>
    <t>Emprestimo Vo</t>
  </si>
  <si>
    <t>Aluguel JD</t>
  </si>
  <si>
    <t>Passagem casamento</t>
  </si>
  <si>
    <t>Airbnb Ribeirão</t>
  </si>
  <si>
    <t>Guarujá</t>
  </si>
  <si>
    <t>Gastos fixos - Pix e boleto</t>
  </si>
  <si>
    <t>Receitas</t>
  </si>
  <si>
    <t>Gatos Por Categoria</t>
  </si>
  <si>
    <t>Valores externos</t>
  </si>
  <si>
    <t>Salário</t>
  </si>
  <si>
    <t>Valor</t>
  </si>
  <si>
    <t>Emprestimo Nubank - dia 26</t>
  </si>
  <si>
    <t>Flash</t>
  </si>
  <si>
    <t>Alimentação</t>
  </si>
  <si>
    <t>Transporte</t>
  </si>
  <si>
    <t>Outros</t>
  </si>
  <si>
    <t>Delivery</t>
  </si>
  <si>
    <t>Total</t>
  </si>
  <si>
    <t>Cartão Carrefour - dia 3</t>
  </si>
  <si>
    <t>Gatos Totais</t>
  </si>
  <si>
    <t>Entretenimento</t>
  </si>
  <si>
    <t>Gastos fixos</t>
  </si>
  <si>
    <t>Saúde</t>
  </si>
  <si>
    <t>Gastos Variáveis</t>
  </si>
  <si>
    <t>Beleza</t>
  </si>
  <si>
    <t>Safra</t>
  </si>
  <si>
    <t>Gastos Fixos- cartão nubank</t>
  </si>
  <si>
    <t>Casa/Animais</t>
  </si>
  <si>
    <t>Compras</t>
  </si>
  <si>
    <t>Investimentos</t>
  </si>
  <si>
    <t>Cofrinho</t>
  </si>
  <si>
    <t>Restante</t>
  </si>
  <si>
    <t>Emprestimo NU</t>
  </si>
  <si>
    <t>Receber</t>
  </si>
  <si>
    <t>mounjaru</t>
  </si>
  <si>
    <t>TOTAL CARTÃO</t>
  </si>
  <si>
    <t>TOTAL FIXO</t>
  </si>
  <si>
    <t>Gastos Variaveis - cartão nubank</t>
  </si>
  <si>
    <t>Fisioterapia</t>
  </si>
  <si>
    <t xml:space="preserve">Saidas </t>
  </si>
  <si>
    <t>Carro</t>
  </si>
  <si>
    <t>TOTAL VARIÁVEL</t>
  </si>
  <si>
    <t>Animais</t>
  </si>
  <si>
    <t>Viagens</t>
  </si>
  <si>
    <t>Passagem Chile</t>
  </si>
  <si>
    <t>shein</t>
  </si>
  <si>
    <t>Gastos Variaveis - pix e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</si>
</sst>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5" formatCode="_(* #,##0.00_);_(* \(#,##0.00\);_(* &quot;-&quot;??_);_(@_)"/>
    <numFmt numFmtId="166" formatCode="_-[$R$-416]\ * #,##0.00_-;\-[$R$-416]\ * #,##0.00_-;_-[$R$-416]\ * &quot;-&quot;??_-;_-@_-"/>
    <numFmt numFmtId="167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2" xfId="0" applyFont="1" applyBorder="1"/>
    <xf numFmtId="44" fontId="4" fillId="0" borderId="2" xfId="1" applyFont="1" applyBorder="1"/>
    <xf numFmtId="44" fontId="3" fillId="0" borderId="1" xfId="1" applyFont="1" applyFill="1" applyBorder="1"/>
    <xf numFmtId="0" fontId="5" fillId="0" borderId="1" xfId="0" applyFont="1" applyBorder="1"/>
    <xf numFmtId="17" fontId="0" fillId="0" borderId="1" xfId="0" applyNumberFormat="1" applyBorder="1" applyAlignment="1">
      <alignment horizontal="center"/>
    </xf>
    <xf numFmtId="0" fontId="0" fillId="0" borderId="2" xfId="0" applyBorder="1"/>
    <xf numFmtId="44" fontId="0" fillId="0" borderId="2" xfId="0" applyNumberFormat="1" applyBorder="1"/>
    <xf numFmtId="17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center"/>
    </xf>
    <xf numFmtId="166" fontId="0" fillId="0" borderId="2" xfId="0" applyNumberFormat="1" applyBorder="1"/>
    <xf numFmtId="44" fontId="0" fillId="0" borderId="0" xfId="0" applyNumberFormat="1"/>
    <xf numFmtId="0" fontId="0" fillId="0" borderId="1" xfId="0" applyBorder="1"/>
    <xf numFmtId="0" fontId="3" fillId="3" borderId="1" xfId="0" applyFont="1" applyFill="1" applyBorder="1"/>
    <xf numFmtId="44" fontId="3" fillId="3" borderId="1" xfId="1" applyFont="1" applyFill="1" applyBorder="1"/>
    <xf numFmtId="44" fontId="0" fillId="0" borderId="2" xfId="1" applyFont="1" applyBorder="1"/>
    <xf numFmtId="0" fontId="2" fillId="0" borderId="2" xfId="0" applyFont="1" applyBorder="1" applyAlignment="1">
      <alignment horizontal="right"/>
    </xf>
    <xf numFmtId="166" fontId="0" fillId="0" borderId="0" xfId="0" applyNumberFormat="1"/>
    <xf numFmtId="0" fontId="3" fillId="3" borderId="1" xfId="0" applyFont="1" applyFill="1" applyBorder="1" applyAlignment="1">
      <alignment horizontal="center"/>
    </xf>
    <xf numFmtId="44" fontId="0" fillId="0" borderId="0" xfId="1" applyFont="1"/>
    <xf numFmtId="0" fontId="3" fillId="0" borderId="0" xfId="0" applyFont="1"/>
    <xf numFmtId="44" fontId="0" fillId="0" borderId="0" xfId="1" applyFont="1" applyFill="1"/>
    <xf numFmtId="0" fontId="0" fillId="0" borderId="1" xfId="0" applyBorder="1" applyAlignment="1">
      <alignment horizontal="center"/>
    </xf>
    <xf numFmtId="44" fontId="0" fillId="0" borderId="0" xfId="1" applyFont="1" applyBorder="1"/>
    <xf numFmtId="44" fontId="6" fillId="0" borderId="2" xfId="0" applyNumberFormat="1" applyFont="1" applyBorder="1" applyAlignment="1">
      <alignment horizontal="left" vertical="top"/>
    </xf>
    <xf numFmtId="44" fontId="6" fillId="0" borderId="2" xfId="0" applyNumberFormat="1" applyFont="1" applyBorder="1"/>
    <xf numFmtId="0" fontId="0" fillId="0" borderId="2" xfId="0" applyBorder="1" applyAlignment="1">
      <alignment horizontal="center"/>
    </xf>
    <xf numFmtId="0" fontId="3" fillId="3" borderId="10" xfId="0" applyFont="1" applyFill="1" applyBorder="1"/>
    <xf numFmtId="17" fontId="0" fillId="3" borderId="10" xfId="0" applyNumberFormat="1" applyFill="1" applyBorder="1" applyAlignment="1">
      <alignment horizontal="center"/>
    </xf>
    <xf numFmtId="0" fontId="0" fillId="3" borderId="2" xfId="0" applyFill="1" applyBorder="1"/>
    <xf numFmtId="17" fontId="0" fillId="3" borderId="2" xfId="0" applyNumberFormat="1" applyFill="1" applyBorder="1" applyAlignment="1">
      <alignment horizontal="center"/>
    </xf>
    <xf numFmtId="165" fontId="0" fillId="0" borderId="0" xfId="0" applyNumberFormat="1"/>
    <xf numFmtId="0" fontId="5" fillId="0" borderId="2" xfId="0" applyFont="1" applyBorder="1"/>
    <xf numFmtId="0" fontId="0" fillId="2" borderId="0" xfId="0" applyFill="1"/>
    <xf numFmtId="0" fontId="2" fillId="0" borderId="0" xfId="0" applyFont="1" applyAlignment="1">
      <alignment horizontal="right"/>
    </xf>
    <xf numFmtId="166" fontId="2" fillId="0" borderId="0" xfId="0" applyNumberFormat="1" applyFont="1"/>
    <xf numFmtId="0" fontId="0" fillId="0" borderId="1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4" fontId="6" fillId="0" borderId="1" xfId="1" applyFont="1" applyFill="1" applyBorder="1"/>
    <xf numFmtId="0" fontId="2" fillId="0" borderId="0" xfId="0" applyFont="1"/>
    <xf numFmtId="44" fontId="6" fillId="0" borderId="6" xfId="1" applyFont="1" applyFill="1" applyBorder="1"/>
    <xf numFmtId="44" fontId="3" fillId="0" borderId="0" xfId="1" applyFont="1" applyFill="1" applyBorder="1"/>
    <xf numFmtId="0" fontId="0" fillId="0" borderId="3" xfId="0" applyBorder="1"/>
    <xf numFmtId="44" fontId="2" fillId="0" borderId="2" xfId="0" applyNumberFormat="1" applyFont="1" applyBorder="1"/>
    <xf numFmtId="0" fontId="3" fillId="3" borderId="4" xfId="0" applyFont="1" applyFill="1" applyBorder="1"/>
    <xf numFmtId="0" fontId="0" fillId="3" borderId="8" xfId="0" applyFill="1" applyBorder="1"/>
    <xf numFmtId="0" fontId="2" fillId="0" borderId="3" xfId="0" applyFont="1" applyBorder="1" applyAlignment="1">
      <alignment horizontal="center"/>
    </xf>
    <xf numFmtId="2" fontId="0" fillId="0" borderId="2" xfId="0" applyNumberFormat="1" applyBorder="1"/>
    <xf numFmtId="2" fontId="0" fillId="0" borderId="2" xfId="0" applyNumberFormat="1" applyBorder="1" applyAlignment="1">
      <alignment wrapText="1"/>
    </xf>
    <xf numFmtId="167" fontId="0" fillId="0" borderId="0" xfId="0" applyNumberFormat="1"/>
    <xf numFmtId="0" fontId="0" fillId="0" borderId="0" xfId="0" applyAlignment="1">
      <alignment horizontal="center" wrapText="1"/>
    </xf>
    <xf numFmtId="17" fontId="0" fillId="0" borderId="0" xfId="0" applyNumberFormat="1"/>
    <xf numFmtId="16" fontId="0" fillId="0" borderId="0" xfId="0" applyNumberFormat="1" applyAlignment="1">
      <alignment horizontal="right"/>
    </xf>
    <xf numFmtId="44" fontId="0" fillId="0" borderId="2" xfId="1" applyFont="1" applyFill="1" applyBorder="1"/>
    <xf numFmtId="0" fontId="0" fillId="0" borderId="2" xfId="0" applyBorder="1" applyAlignment="1">
      <alignment horizontal="left"/>
    </xf>
    <xf numFmtId="0" fontId="0" fillId="0" borderId="11" xfId="0" applyBorder="1"/>
    <xf numFmtId="0" fontId="0" fillId="0" borderId="14" xfId="0" applyBorder="1"/>
    <xf numFmtId="44" fontId="8" fillId="0" borderId="15" xfId="0" applyNumberFormat="1" applyFont="1" applyBorder="1"/>
    <xf numFmtId="0" fontId="0" fillId="0" borderId="7" xfId="0" applyBorder="1"/>
    <xf numFmtId="0" fontId="0" fillId="0" borderId="13" xfId="0" applyBorder="1"/>
    <xf numFmtId="44" fontId="7" fillId="0" borderId="16" xfId="0" applyNumberFormat="1" applyFont="1" applyBorder="1"/>
    <xf numFmtId="44" fontId="6" fillId="0" borderId="10" xfId="1" applyFont="1" applyFill="1" applyBorder="1"/>
    <xf numFmtId="17" fontId="0" fillId="0" borderId="0" xfId="0" applyNumberFormat="1" applyAlignment="1">
      <alignment horizontal="center"/>
    </xf>
    <xf numFmtId="0" fontId="2" fillId="0" borderId="3" xfId="0" applyFont="1" applyBorder="1"/>
    <xf numFmtId="0" fontId="2" fillId="0" borderId="9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17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3" fillId="0" borderId="10" xfId="0" applyFont="1" applyBorder="1"/>
    <xf numFmtId="0" fontId="3" fillId="0" borderId="18" xfId="0" applyFont="1" applyBorder="1"/>
    <xf numFmtId="0" fontId="0" fillId="0" borderId="12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4" fontId="2" fillId="0" borderId="8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Abril!$J$1:$J$2</c:f>
              <c:strCache>
                <c:ptCount val="2"/>
                <c:pt idx="0">
                  <c:v>Gatos Por Categoria</c:v>
                </c:pt>
                <c:pt idx="1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3-4AE3-8FF9-7730FD137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E3-4AE3-8FF9-7730FD1379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E3-4AE3-8FF9-7730FD1379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E3-4AE3-8FF9-7730FD1379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E3-4AE3-8FF9-7730FD1379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E3-4AE3-8FF9-7730FD1379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E3-4AE3-8FF9-7730FD1379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E3-4AE3-8FF9-7730FD13795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E3-4AE3-8FF9-7730FD1379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Abril!$I$3:$I$11</c:f>
              <c:strCache>
                <c:ptCount val="9"/>
                <c:pt idx="0">
                  <c:v>Alimentação</c:v>
                </c:pt>
                <c:pt idx="1">
                  <c:v>Delivery</c:v>
                </c:pt>
                <c:pt idx="2">
                  <c:v>Transporte</c:v>
                </c:pt>
                <c:pt idx="3">
                  <c:v>Viagem</c:v>
                </c:pt>
                <c:pt idx="4">
                  <c:v>Entretenimento</c:v>
                </c:pt>
                <c:pt idx="5">
                  <c:v>Saúde</c:v>
                </c:pt>
                <c:pt idx="6">
                  <c:v>Beleza</c:v>
                </c:pt>
                <c:pt idx="7">
                  <c:v>Casa/Animais</c:v>
                </c:pt>
                <c:pt idx="8">
                  <c:v>Compras</c:v>
                </c:pt>
              </c:strCache>
            </c:strRef>
          </c:cat>
          <c:val>
            <c:numRef>
              <c:f>Abril!$J$3:$J$11</c:f>
              <c:numCache>
                <c:formatCode>0.00</c:formatCode>
                <c:ptCount val="9"/>
                <c:pt idx="0">
                  <c:v>150</c:v>
                </c:pt>
                <c:pt idx="1">
                  <c:v>0</c:v>
                </c:pt>
                <c:pt idx="2">
                  <c:v>521.22</c:v>
                </c:pt>
                <c:pt idx="3">
                  <c:v>480.59500000000003</c:v>
                </c:pt>
                <c:pt idx="4">
                  <c:v>326.06</c:v>
                </c:pt>
                <c:pt idx="5">
                  <c:v>529.34</c:v>
                </c:pt>
                <c:pt idx="6">
                  <c:v>59.9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E3-4AE3-8FF9-7730FD137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11</xdr:row>
      <xdr:rowOff>85725</xdr:rowOff>
    </xdr:from>
    <xdr:to>
      <xdr:col>10</xdr:col>
      <xdr:colOff>742950</xdr:colOff>
      <xdr:row>29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887239-3906-4F0B-BA90-F35F4F440820}"/>
            </a:ext>
            <a:ext uri="{147F2762-F138-4A5C-976F-8EAC2B608ADB}">
              <a16:predDERef xmlns:a16="http://schemas.microsoft.com/office/drawing/2014/main" pred="{CFC7A2B0-AB14-7A54-3DCA-9C6FEF2E4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6155-7341-4D22-828E-5F677E3D0260}">
  <dimension ref="A1:O73"/>
  <sheetViews>
    <sheetView tabSelected="1" zoomScale="160" zoomScaleNormal="160" workbookViewId="0">
      <selection activeCell="G41" sqref="G41"/>
    </sheetView>
  </sheetViews>
  <sheetFormatPr defaultRowHeight="15" x14ac:dyDescent="0.25"/>
  <cols>
    <col min="1" max="1" width="19" bestFit="1" customWidth="1"/>
    <col min="2" max="2" width="12.28515625" bestFit="1" customWidth="1"/>
    <col min="3" max="3" width="15.5703125" bestFit="1" customWidth="1"/>
    <col min="4" max="4" width="14.28515625" customWidth="1"/>
    <col min="5" max="5" width="6.42578125" customWidth="1"/>
    <col min="6" max="6" width="15" bestFit="1" customWidth="1"/>
    <col min="7" max="7" width="14.5703125" bestFit="1" customWidth="1"/>
    <col min="8" max="8" width="5.85546875" customWidth="1"/>
    <col min="9" max="9" width="19.7109375" style="21" bestFit="1" customWidth="1"/>
    <col min="10" max="10" width="19.7109375" customWidth="1"/>
    <col min="11" max="11" width="14.28515625" bestFit="1" customWidth="1"/>
    <col min="12" max="12" width="17.5703125" style="10" bestFit="1" customWidth="1"/>
    <col min="13" max="13" width="16.140625" bestFit="1" customWidth="1"/>
    <col min="14" max="14" width="13.42578125" bestFit="1" customWidth="1"/>
  </cols>
  <sheetData>
    <row r="1" spans="1:15" x14ac:dyDescent="0.25">
      <c r="A1" s="79" t="s">
        <v>39</v>
      </c>
      <c r="B1" s="79"/>
      <c r="C1" s="79"/>
      <c r="D1" s="79"/>
      <c r="F1" s="81" t="s">
        <v>40</v>
      </c>
      <c r="G1" s="81"/>
      <c r="I1" s="82" t="s">
        <v>41</v>
      </c>
      <c r="J1" s="83"/>
      <c r="L1" s="82" t="s">
        <v>42</v>
      </c>
      <c r="M1" s="84"/>
      <c r="N1" s="83"/>
    </row>
    <row r="2" spans="1:15" x14ac:dyDescent="0.25">
      <c r="A2" s="40" t="s">
        <v>0</v>
      </c>
      <c r="B2" s="40" t="s">
        <v>1</v>
      </c>
      <c r="C2" s="40" t="s">
        <v>2</v>
      </c>
      <c r="D2" s="39" t="s">
        <v>3</v>
      </c>
      <c r="F2" s="6" t="s">
        <v>43</v>
      </c>
      <c r="G2" s="3">
        <f>5200</f>
        <v>5200</v>
      </c>
      <c r="I2" s="27" t="s">
        <v>0</v>
      </c>
      <c r="J2" s="27" t="s">
        <v>44</v>
      </c>
      <c r="L2" s="82" t="s">
        <v>45</v>
      </c>
      <c r="M2" s="84"/>
      <c r="N2" s="83"/>
    </row>
    <row r="3" spans="1:15" x14ac:dyDescent="0.25">
      <c r="A3" s="4" t="s">
        <v>7</v>
      </c>
      <c r="B3" s="3">
        <f>265.03/2</f>
        <v>132.51499999999999</v>
      </c>
      <c r="C3" s="4" t="s">
        <v>13</v>
      </c>
      <c r="D3" s="5">
        <v>46113</v>
      </c>
      <c r="F3" s="6" t="s">
        <v>46</v>
      </c>
      <c r="G3" s="3">
        <v>638</v>
      </c>
      <c r="I3" s="6" t="s">
        <v>47</v>
      </c>
      <c r="J3" s="51">
        <f>B45+B36</f>
        <v>150</v>
      </c>
      <c r="L3" s="37"/>
      <c r="M3" s="27" t="s">
        <v>26</v>
      </c>
      <c r="N3" s="27" t="s">
        <v>24</v>
      </c>
    </row>
    <row r="4" spans="1:15" x14ac:dyDescent="0.25">
      <c r="A4" s="13" t="s">
        <v>10</v>
      </c>
      <c r="B4" s="3">
        <v>306.93</v>
      </c>
      <c r="C4" s="13" t="s">
        <v>48</v>
      </c>
      <c r="D4" s="5">
        <v>46296</v>
      </c>
      <c r="F4" s="6" t="s">
        <v>49</v>
      </c>
      <c r="G4" s="3"/>
      <c r="I4" s="6" t="s">
        <v>50</v>
      </c>
      <c r="J4" s="51">
        <f>B38+B48</f>
        <v>0</v>
      </c>
      <c r="L4" s="16">
        <f>1638.67-N17</f>
        <v>908.67000000000007</v>
      </c>
      <c r="M4" s="16">
        <f>L4/2</f>
        <v>454.33500000000004</v>
      </c>
      <c r="N4" s="16">
        <f>L4/2</f>
        <v>454.33500000000004</v>
      </c>
    </row>
    <row r="5" spans="1:15" x14ac:dyDescent="0.25">
      <c r="A5" s="4" t="s">
        <v>12</v>
      </c>
      <c r="B5" s="3">
        <v>200</v>
      </c>
      <c r="C5" s="4" t="s">
        <v>13</v>
      </c>
      <c r="D5" s="8" t="s">
        <v>6</v>
      </c>
      <c r="F5" s="17" t="s">
        <v>51</v>
      </c>
      <c r="G5" s="41">
        <f>G3+G4+G2</f>
        <v>5838</v>
      </c>
      <c r="I5" s="6" t="s">
        <v>48</v>
      </c>
      <c r="J5" s="51">
        <f>B6+B7+B4+B35+B49</f>
        <v>521.22</v>
      </c>
      <c r="L5" s="82" t="s">
        <v>52</v>
      </c>
      <c r="M5" s="84"/>
      <c r="N5" s="83"/>
    </row>
    <row r="6" spans="1:15" x14ac:dyDescent="0.25">
      <c r="A6" s="13" t="s">
        <v>15</v>
      </c>
      <c r="B6" s="3">
        <v>173.29</v>
      </c>
      <c r="C6" s="13" t="s">
        <v>48</v>
      </c>
      <c r="D6" s="5">
        <v>46113</v>
      </c>
      <c r="I6" s="6" t="s">
        <v>13</v>
      </c>
      <c r="J6" s="50">
        <f>B3+B5+B25+B33+B47</f>
        <v>480.59500000000003</v>
      </c>
      <c r="K6" s="6"/>
      <c r="L6" s="37"/>
      <c r="M6" s="27" t="s">
        <v>26</v>
      </c>
      <c r="N6" s="27" t="s">
        <v>24</v>
      </c>
    </row>
    <row r="7" spans="1:15" x14ac:dyDescent="0.25">
      <c r="A7" s="4" t="s">
        <v>17</v>
      </c>
      <c r="B7" s="3">
        <v>41</v>
      </c>
      <c r="C7" s="13" t="s">
        <v>48</v>
      </c>
      <c r="D7" s="8">
        <v>46935</v>
      </c>
      <c r="F7" s="82" t="s">
        <v>53</v>
      </c>
      <c r="G7" s="83"/>
      <c r="I7" s="6" t="s">
        <v>54</v>
      </c>
      <c r="J7" s="50">
        <f>B14+B15+B16+B17+B20+B34+B46</f>
        <v>326.06</v>
      </c>
      <c r="L7" s="16">
        <f>352.14+16.99</f>
        <v>369.13</v>
      </c>
      <c r="M7" s="16">
        <f>177.66/2</f>
        <v>88.83</v>
      </c>
      <c r="N7" s="16">
        <f>L7-M7</f>
        <v>280.3</v>
      </c>
    </row>
    <row r="8" spans="1:15" ht="14.45" customHeight="1" x14ac:dyDescent="0.25">
      <c r="A8" s="9" t="s">
        <v>19</v>
      </c>
      <c r="B8" s="41">
        <f>SUM(B3:B7)</f>
        <v>853.7349999999999</v>
      </c>
      <c r="F8" s="6" t="s">
        <v>55</v>
      </c>
      <c r="G8" s="3">
        <f>B8+B28</f>
        <v>2193.8676666666661</v>
      </c>
      <c r="I8" s="6" t="s">
        <v>56</v>
      </c>
      <c r="J8" s="50">
        <f>B12+B13+B31+B32+B50</f>
        <v>529.34</v>
      </c>
      <c r="L8" s="58"/>
      <c r="N8" s="59"/>
    </row>
    <row r="9" spans="1:15" ht="14.45" customHeight="1" x14ac:dyDescent="0.25">
      <c r="B9" s="52"/>
      <c r="F9" s="6" t="s">
        <v>57</v>
      </c>
      <c r="G9" s="3">
        <f>B40+B52</f>
        <v>887.97</v>
      </c>
      <c r="I9" s="6" t="s">
        <v>58</v>
      </c>
      <c r="J9" s="50">
        <f>B22+B51</f>
        <v>59.9</v>
      </c>
      <c r="L9" s="81" t="s">
        <v>59</v>
      </c>
      <c r="M9" s="81"/>
      <c r="N9" s="81"/>
    </row>
    <row r="10" spans="1:15" ht="14.45" customHeight="1" x14ac:dyDescent="0.25">
      <c r="A10" s="81" t="s">
        <v>60</v>
      </c>
      <c r="B10" s="81"/>
      <c r="C10" s="81"/>
      <c r="D10" s="81"/>
      <c r="F10" s="17" t="s">
        <v>51</v>
      </c>
      <c r="G10" s="41">
        <f>G8+G9</f>
        <v>3081.8376666666663</v>
      </c>
      <c r="I10" s="6" t="s">
        <v>61</v>
      </c>
      <c r="J10" s="50" t="e">
        <f>#REF!+B44</f>
        <v>#REF!</v>
      </c>
      <c r="L10" s="91" t="s">
        <v>28</v>
      </c>
      <c r="M10" s="6" t="s">
        <v>29</v>
      </c>
      <c r="N10" s="16">
        <v>5000</v>
      </c>
    </row>
    <row r="11" spans="1:15" x14ac:dyDescent="0.25">
      <c r="A11" s="66" t="s">
        <v>0</v>
      </c>
      <c r="B11" s="66" t="s">
        <v>1</v>
      </c>
      <c r="C11" s="66" t="s">
        <v>2</v>
      </c>
      <c r="D11" s="67" t="s">
        <v>3</v>
      </c>
      <c r="I11" s="6" t="s">
        <v>62</v>
      </c>
      <c r="J11" s="6"/>
      <c r="L11" s="91"/>
      <c r="M11" s="6" t="s">
        <v>30</v>
      </c>
      <c r="N11" s="56">
        <f>6500</f>
        <v>6500</v>
      </c>
    </row>
    <row r="12" spans="1:15" x14ac:dyDescent="0.25">
      <c r="A12" s="68" t="s">
        <v>4</v>
      </c>
      <c r="B12" s="3">
        <v>199.9</v>
      </c>
      <c r="C12" s="6" t="s">
        <v>56</v>
      </c>
      <c r="D12" s="69" t="s">
        <v>6</v>
      </c>
      <c r="G12" s="44"/>
      <c r="L12" s="58"/>
      <c r="N12" s="60">
        <f>N10+N11</f>
        <v>11500</v>
      </c>
    </row>
    <row r="13" spans="1:15" x14ac:dyDescent="0.25">
      <c r="A13" s="68" t="s">
        <v>8</v>
      </c>
      <c r="B13" s="3">
        <v>109.44</v>
      </c>
      <c r="C13" s="6" t="s">
        <v>56</v>
      </c>
      <c r="D13" s="69" t="s">
        <v>6</v>
      </c>
      <c r="F13" s="81" t="s">
        <v>63</v>
      </c>
      <c r="G13" s="81"/>
      <c r="L13" s="92" t="s">
        <v>31</v>
      </c>
      <c r="M13" s="6" t="s">
        <v>32</v>
      </c>
      <c r="N13" s="56">
        <v>4431.26</v>
      </c>
    </row>
    <row r="14" spans="1:15" x14ac:dyDescent="0.25">
      <c r="A14" s="68" t="s">
        <v>9</v>
      </c>
      <c r="B14" s="3">
        <v>14.99</v>
      </c>
      <c r="C14" s="6" t="s">
        <v>54</v>
      </c>
      <c r="D14" s="69" t="s">
        <v>6</v>
      </c>
      <c r="F14" s="45" t="s">
        <v>64</v>
      </c>
      <c r="G14" s="3">
        <v>500</v>
      </c>
      <c r="L14" s="93"/>
      <c r="M14" s="6" t="s">
        <v>33</v>
      </c>
      <c r="N14" s="56">
        <f>16500/11</f>
        <v>1500</v>
      </c>
    </row>
    <row r="15" spans="1:15" x14ac:dyDescent="0.25">
      <c r="A15" s="68" t="s">
        <v>11</v>
      </c>
      <c r="B15" s="3">
        <v>19.899999999999999</v>
      </c>
      <c r="C15" s="6" t="s">
        <v>54</v>
      </c>
      <c r="D15" s="69" t="s">
        <v>6</v>
      </c>
      <c r="F15" s="17" t="s">
        <v>51</v>
      </c>
      <c r="G15" s="41">
        <f>G14</f>
        <v>500</v>
      </c>
      <c r="L15" s="93"/>
      <c r="M15" s="6" t="s">
        <v>34</v>
      </c>
      <c r="N15" s="56">
        <v>1135</v>
      </c>
    </row>
    <row r="16" spans="1:15" x14ac:dyDescent="0.25">
      <c r="A16" s="68" t="s">
        <v>14</v>
      </c>
      <c r="B16" s="3">
        <f>10+13.9</f>
        <v>23.9</v>
      </c>
      <c r="C16" s="6" t="s">
        <v>54</v>
      </c>
      <c r="D16" s="69" t="s">
        <v>6</v>
      </c>
      <c r="L16" s="93"/>
      <c r="M16" s="6" t="s">
        <v>35</v>
      </c>
      <c r="N16" s="16">
        <v>3700</v>
      </c>
      <c r="O16" s="32"/>
    </row>
    <row r="17" spans="1:14" x14ac:dyDescent="0.25">
      <c r="A17" s="68" t="s">
        <v>16</v>
      </c>
      <c r="B17" s="3">
        <v>29.9</v>
      </c>
      <c r="C17" s="6" t="s">
        <v>54</v>
      </c>
      <c r="D17" s="23" t="s">
        <v>6</v>
      </c>
      <c r="F17" s="1" t="s">
        <v>65</v>
      </c>
      <c r="G17" s="43">
        <f>G5-G10-G15</f>
        <v>2256.1623333333337</v>
      </c>
      <c r="L17" s="94"/>
      <c r="M17" s="6" t="s">
        <v>66</v>
      </c>
      <c r="N17" s="56">
        <v>730</v>
      </c>
    </row>
    <row r="18" spans="1:14" x14ac:dyDescent="0.25">
      <c r="A18" s="14" t="s">
        <v>24</v>
      </c>
      <c r="B18" s="15">
        <f>12+60</f>
        <v>72</v>
      </c>
      <c r="C18" s="30" t="s">
        <v>54</v>
      </c>
      <c r="D18" s="19" t="s">
        <v>6</v>
      </c>
      <c r="F18" s="42"/>
      <c r="K18" s="32"/>
      <c r="L18" s="61"/>
      <c r="M18" s="62"/>
      <c r="N18" s="63">
        <f>N13+N14+N15+N16+N17</f>
        <v>11496.26</v>
      </c>
    </row>
    <row r="19" spans="1:14" x14ac:dyDescent="0.25">
      <c r="A19" s="77" t="s">
        <v>78</v>
      </c>
      <c r="B19" s="20">
        <f>2502.56/10</f>
        <v>250.256</v>
      </c>
      <c r="C19" s="78" t="s">
        <v>13</v>
      </c>
      <c r="D19" s="65">
        <v>46388</v>
      </c>
    </row>
    <row r="20" spans="1:14" x14ac:dyDescent="0.25">
      <c r="A20" s="68" t="s">
        <v>18</v>
      </c>
      <c r="B20" s="3">
        <v>39.93</v>
      </c>
      <c r="C20" s="6" t="s">
        <v>54</v>
      </c>
      <c r="D20" s="5">
        <v>46296</v>
      </c>
      <c r="E20" s="10"/>
      <c r="F20" s="80" t="s">
        <v>67</v>
      </c>
      <c r="G20" s="80"/>
      <c r="H20" s="53"/>
    </row>
    <row r="21" spans="1:14" ht="14.45" customHeight="1" x14ac:dyDescent="0.25">
      <c r="A21" s="77" t="s">
        <v>79</v>
      </c>
      <c r="B21" s="20">
        <f>236.65/3</f>
        <v>78.88333333333334</v>
      </c>
      <c r="C21" t="s">
        <v>58</v>
      </c>
      <c r="D21" s="65">
        <v>46174</v>
      </c>
      <c r="E21" s="10"/>
      <c r="F21" s="6" t="s">
        <v>22</v>
      </c>
      <c r="G21" s="56">
        <v>1350</v>
      </c>
      <c r="H21" s="54"/>
    </row>
    <row r="22" spans="1:14" ht="14.45" customHeight="1" x14ac:dyDescent="0.25">
      <c r="A22" s="68" t="s">
        <v>20</v>
      </c>
      <c r="B22" s="3">
        <v>59.9</v>
      </c>
      <c r="C22" s="6" t="s">
        <v>58</v>
      </c>
      <c r="D22" s="70">
        <v>46174</v>
      </c>
      <c r="E22" s="34"/>
      <c r="F22" s="57" t="s">
        <v>23</v>
      </c>
      <c r="G22" s="7">
        <f>B26/3+B23/2</f>
        <v>323.66666666666669</v>
      </c>
      <c r="H22" s="54"/>
    </row>
    <row r="23" spans="1:14" ht="13.5" customHeight="1" x14ac:dyDescent="0.25">
      <c r="A23" s="28" t="s">
        <v>68</v>
      </c>
      <c r="B23" s="15">
        <f>1693.68/3</f>
        <v>564.56000000000006</v>
      </c>
      <c r="C23" s="48" t="s">
        <v>58</v>
      </c>
      <c r="D23" s="29">
        <v>46143</v>
      </c>
      <c r="E23" s="34"/>
      <c r="F23" s="6" t="s">
        <v>24</v>
      </c>
      <c r="G23" s="7">
        <f>B18+B24+(B26/3)</f>
        <v>155.15666666666667</v>
      </c>
      <c r="H23" s="55"/>
    </row>
    <row r="24" spans="1:14" ht="13.5" customHeight="1" x14ac:dyDescent="0.25">
      <c r="A24" s="28" t="s">
        <v>21</v>
      </c>
      <c r="B24" s="15">
        <v>41.77</v>
      </c>
      <c r="C24" s="48" t="s">
        <v>54</v>
      </c>
      <c r="D24" s="29">
        <v>46113</v>
      </c>
      <c r="E24" s="34"/>
      <c r="F24" s="17" t="s">
        <v>51</v>
      </c>
      <c r="G24" s="46">
        <f>SUM(G21:G23)</f>
        <v>1828.8233333333335</v>
      </c>
      <c r="H24" s="54"/>
    </row>
    <row r="25" spans="1:14" ht="13.5" customHeight="1" x14ac:dyDescent="0.25">
      <c r="A25" s="71" t="s">
        <v>36</v>
      </c>
      <c r="B25" s="3">
        <v>148.08000000000001</v>
      </c>
      <c r="C25" s="72" t="s">
        <v>13</v>
      </c>
      <c r="D25" s="73">
        <v>46113</v>
      </c>
      <c r="E25" s="34"/>
      <c r="F25" s="18"/>
    </row>
    <row r="26" spans="1:14" ht="13.5" customHeight="1" x14ac:dyDescent="0.25">
      <c r="A26" s="47" t="s">
        <v>37</v>
      </c>
      <c r="B26" s="15">
        <v>124.16</v>
      </c>
      <c r="C26" s="30" t="s">
        <v>13</v>
      </c>
      <c r="D26" s="31">
        <v>46113</v>
      </c>
      <c r="E26" s="34"/>
      <c r="F26" s="18"/>
    </row>
    <row r="27" spans="1:14" ht="14.45" customHeight="1" x14ac:dyDescent="0.25">
      <c r="A27" s="74" t="s">
        <v>69</v>
      </c>
      <c r="B27" s="41">
        <f>SUM(B12:B26)</f>
        <v>1777.5693333333331</v>
      </c>
      <c r="C27" s="21"/>
      <c r="D27" s="65"/>
      <c r="F27" s="18"/>
    </row>
    <row r="28" spans="1:14" ht="14.45" customHeight="1" x14ac:dyDescent="0.25">
      <c r="A28" s="75" t="s">
        <v>70</v>
      </c>
      <c r="B28" s="64">
        <f>B27-(B18+B24+(B26/3)+B23/2)</f>
        <v>1340.1326666666664</v>
      </c>
      <c r="C28" s="21"/>
      <c r="D28" s="65"/>
      <c r="F28" s="18"/>
    </row>
    <row r="29" spans="1:14" ht="14.45" customHeight="1" x14ac:dyDescent="0.25">
      <c r="A29" s="88" t="s">
        <v>71</v>
      </c>
      <c r="B29" s="89"/>
      <c r="C29" s="89"/>
      <c r="D29" s="90"/>
      <c r="F29" s="18"/>
    </row>
    <row r="30" spans="1:14" ht="14.45" customHeight="1" x14ac:dyDescent="0.25">
      <c r="A30" s="66" t="s">
        <v>0</v>
      </c>
      <c r="B30" s="66" t="s">
        <v>1</v>
      </c>
      <c r="C30" s="66" t="s">
        <v>2</v>
      </c>
      <c r="D30" s="67" t="s">
        <v>3</v>
      </c>
      <c r="E30" s="35"/>
      <c r="F30" s="36"/>
    </row>
    <row r="31" spans="1:14" ht="14.45" customHeight="1" x14ac:dyDescent="0.25">
      <c r="A31" s="68" t="s">
        <v>72</v>
      </c>
      <c r="B31" s="3">
        <v>220</v>
      </c>
      <c r="C31" s="6" t="s">
        <v>56</v>
      </c>
      <c r="D31" s="69" t="s">
        <v>6</v>
      </c>
    </row>
    <row r="32" spans="1:14" ht="14.45" customHeight="1" x14ac:dyDescent="0.25">
      <c r="A32" s="68" t="s">
        <v>25</v>
      </c>
      <c r="B32" s="3"/>
      <c r="C32" s="6" t="s">
        <v>56</v>
      </c>
      <c r="D32" s="69" t="s">
        <v>6</v>
      </c>
      <c r="H32" s="22"/>
    </row>
    <row r="33" spans="1:11" ht="14.45" customHeight="1" x14ac:dyDescent="0.25">
      <c r="A33" s="68" t="s">
        <v>38</v>
      </c>
      <c r="B33" s="3"/>
      <c r="C33" s="72" t="s">
        <v>13</v>
      </c>
      <c r="D33" s="23"/>
      <c r="F33" s="12"/>
    </row>
    <row r="34" spans="1:11" ht="14.45" customHeight="1" x14ac:dyDescent="0.25">
      <c r="A34" s="68" t="s">
        <v>73</v>
      </c>
      <c r="B34" s="3">
        <f>59.14+72.3+66</f>
        <v>197.44</v>
      </c>
      <c r="C34" s="6" t="s">
        <v>54</v>
      </c>
      <c r="D34" s="69" t="s">
        <v>6</v>
      </c>
    </row>
    <row r="35" spans="1:11" ht="14.45" customHeight="1" x14ac:dyDescent="0.25">
      <c r="A35" s="68" t="s">
        <v>27</v>
      </c>
      <c r="B35" s="3"/>
      <c r="C35" s="6" t="s">
        <v>48</v>
      </c>
      <c r="D35" s="69" t="s">
        <v>6</v>
      </c>
    </row>
    <row r="36" spans="1:11" ht="14.45" customHeight="1" x14ac:dyDescent="0.25">
      <c r="A36" s="68" t="s">
        <v>47</v>
      </c>
      <c r="B36" s="3">
        <v>150</v>
      </c>
      <c r="C36" s="6" t="s">
        <v>47</v>
      </c>
      <c r="D36" s="69"/>
    </row>
    <row r="37" spans="1:11" ht="14.45" customHeight="1" x14ac:dyDescent="0.25">
      <c r="A37" s="68" t="s">
        <v>62</v>
      </c>
      <c r="B37" s="3">
        <f>79.84</f>
        <v>79.84</v>
      </c>
      <c r="C37" s="6" t="s">
        <v>62</v>
      </c>
      <c r="D37" s="69" t="s">
        <v>6</v>
      </c>
    </row>
    <row r="38" spans="1:11" ht="14.45" customHeight="1" x14ac:dyDescent="0.25">
      <c r="A38" s="68" t="s">
        <v>50</v>
      </c>
      <c r="B38" s="3"/>
      <c r="C38" s="6" t="s">
        <v>50</v>
      </c>
      <c r="D38" s="69" t="s">
        <v>6</v>
      </c>
    </row>
    <row r="39" spans="1:11" ht="14.45" customHeight="1" x14ac:dyDescent="0.25">
      <c r="A39" s="76" t="s">
        <v>74</v>
      </c>
      <c r="B39" s="3">
        <v>240.69</v>
      </c>
      <c r="C39" s="6" t="s">
        <v>48</v>
      </c>
      <c r="D39" s="69" t="s">
        <v>6</v>
      </c>
    </row>
    <row r="40" spans="1:11" ht="14.45" customHeight="1" x14ac:dyDescent="0.25">
      <c r="A40" s="17" t="s">
        <v>75</v>
      </c>
      <c r="B40" s="41">
        <f>SUM(B31:B39)</f>
        <v>887.97</v>
      </c>
      <c r="D40" s="10"/>
    </row>
    <row r="41" spans="1:11" x14ac:dyDescent="0.25">
      <c r="A41" s="75" t="s">
        <v>69</v>
      </c>
      <c r="B41" s="41">
        <f>B40+B27</f>
        <v>2665.5393333333332</v>
      </c>
      <c r="D41" s="10"/>
    </row>
    <row r="42" spans="1:11" x14ac:dyDescent="0.25">
      <c r="A42" s="85" t="s">
        <v>80</v>
      </c>
      <c r="B42" s="86"/>
      <c r="C42" s="86"/>
      <c r="D42" s="87"/>
      <c r="F42" s="10"/>
      <c r="I42"/>
      <c r="K42" s="21"/>
    </row>
    <row r="43" spans="1:11" x14ac:dyDescent="0.25">
      <c r="A43" s="49" t="s">
        <v>0</v>
      </c>
      <c r="B43" s="49" t="s">
        <v>1</v>
      </c>
      <c r="C43" s="49" t="s">
        <v>2</v>
      </c>
      <c r="D43" s="49" t="s">
        <v>3</v>
      </c>
      <c r="F43" s="10"/>
    </row>
    <row r="44" spans="1:11" x14ac:dyDescent="0.25">
      <c r="A44" s="33" t="s">
        <v>76</v>
      </c>
      <c r="B44" s="3"/>
      <c r="C44" s="6" t="s">
        <v>61</v>
      </c>
      <c r="D44" s="38" t="s">
        <v>6</v>
      </c>
      <c r="F44" s="10"/>
    </row>
    <row r="45" spans="1:11" x14ac:dyDescent="0.25">
      <c r="A45" s="6" t="s">
        <v>47</v>
      </c>
      <c r="B45" s="3"/>
      <c r="C45" s="6" t="s">
        <v>47</v>
      </c>
      <c r="D45" s="27" t="s">
        <v>6</v>
      </c>
      <c r="F45" s="10"/>
    </row>
    <row r="46" spans="1:11" x14ac:dyDescent="0.25">
      <c r="A46" s="6" t="s">
        <v>73</v>
      </c>
      <c r="B46" s="3"/>
      <c r="C46" s="6" t="s">
        <v>54</v>
      </c>
      <c r="D46" s="27" t="s">
        <v>6</v>
      </c>
      <c r="F46" s="10"/>
    </row>
    <row r="47" spans="1:11" x14ac:dyDescent="0.25">
      <c r="A47" s="33" t="s">
        <v>77</v>
      </c>
      <c r="B47" s="3"/>
      <c r="C47" s="33" t="s">
        <v>13</v>
      </c>
      <c r="D47" s="38" t="s">
        <v>6</v>
      </c>
      <c r="F47" s="10"/>
      <c r="H47" s="12"/>
    </row>
    <row r="48" spans="1:11" x14ac:dyDescent="0.25">
      <c r="A48" s="6" t="s">
        <v>50</v>
      </c>
      <c r="B48" s="3"/>
      <c r="C48" s="6" t="s">
        <v>50</v>
      </c>
      <c r="D48" s="27" t="s">
        <v>6</v>
      </c>
    </row>
    <row r="49" spans="1:11" x14ac:dyDescent="0.25">
      <c r="A49" s="33" t="s">
        <v>74</v>
      </c>
      <c r="B49" s="3"/>
      <c r="C49" s="6" t="s">
        <v>48</v>
      </c>
      <c r="D49" s="27" t="s">
        <v>6</v>
      </c>
    </row>
    <row r="50" spans="1:11" x14ac:dyDescent="0.25">
      <c r="A50" s="6" t="s">
        <v>5</v>
      </c>
      <c r="B50" s="3"/>
      <c r="C50" s="6" t="s">
        <v>56</v>
      </c>
      <c r="D50" s="27" t="s">
        <v>6</v>
      </c>
    </row>
    <row r="51" spans="1:11" x14ac:dyDescent="0.25">
      <c r="A51" s="6" t="s">
        <v>58</v>
      </c>
      <c r="B51" s="3"/>
      <c r="C51" s="6" t="s">
        <v>58</v>
      </c>
      <c r="D51" s="38" t="s">
        <v>6</v>
      </c>
    </row>
    <row r="52" spans="1:11" x14ac:dyDescent="0.25">
      <c r="A52" s="9" t="s">
        <v>19</v>
      </c>
      <c r="B52" s="41">
        <f>SUM(B44:B51)</f>
        <v>0</v>
      </c>
    </row>
    <row r="53" spans="1:11" x14ac:dyDescent="0.25">
      <c r="F53" s="10"/>
      <c r="G53" s="12"/>
    </row>
    <row r="54" spans="1:11" x14ac:dyDescent="0.25">
      <c r="F54" s="10"/>
      <c r="G54" s="10"/>
      <c r="H54" s="10"/>
    </row>
    <row r="55" spans="1:11" x14ac:dyDescent="0.25">
      <c r="F55" s="24"/>
      <c r="G55" s="24"/>
      <c r="H55" s="24"/>
    </row>
    <row r="56" spans="1:11" x14ac:dyDescent="0.25">
      <c r="F56" s="10"/>
      <c r="G56" s="12"/>
      <c r="H56" s="12"/>
    </row>
    <row r="57" spans="1:11" x14ac:dyDescent="0.25">
      <c r="F57" s="10"/>
      <c r="G57" s="12"/>
      <c r="H57" s="12"/>
    </row>
    <row r="58" spans="1:11" x14ac:dyDescent="0.25">
      <c r="F58" s="10"/>
    </row>
    <row r="59" spans="1:11" x14ac:dyDescent="0.25">
      <c r="F59" s="10"/>
    </row>
    <row r="60" spans="1:11" x14ac:dyDescent="0.25">
      <c r="F60" s="10"/>
      <c r="I60"/>
    </row>
    <row r="61" spans="1:11" x14ac:dyDescent="0.25">
      <c r="F61" s="10"/>
      <c r="I61"/>
    </row>
    <row r="62" spans="1:11" x14ac:dyDescent="0.25">
      <c r="F62" s="10"/>
      <c r="I62"/>
      <c r="J62" s="1"/>
      <c r="K62" s="2"/>
    </row>
    <row r="63" spans="1:11" x14ac:dyDescent="0.25">
      <c r="F63" s="10"/>
      <c r="I63"/>
      <c r="J63" s="6"/>
      <c r="K63" s="7"/>
    </row>
    <row r="64" spans="1:11" x14ac:dyDescent="0.25">
      <c r="F64" s="10"/>
      <c r="I64"/>
      <c r="J64" s="25"/>
      <c r="K64" s="26"/>
    </row>
    <row r="65" spans="6:11" x14ac:dyDescent="0.25">
      <c r="F65" s="10"/>
      <c r="I65"/>
      <c r="J65" s="6"/>
      <c r="K65" s="7"/>
    </row>
    <row r="66" spans="6:11" x14ac:dyDescent="0.25">
      <c r="F66" s="10"/>
      <c r="I66"/>
      <c r="J66" s="6"/>
      <c r="K66" s="7"/>
    </row>
    <row r="67" spans="6:11" x14ac:dyDescent="0.25">
      <c r="F67" s="10"/>
      <c r="I67"/>
      <c r="J67" s="6"/>
      <c r="K67" s="11"/>
    </row>
    <row r="68" spans="6:11" x14ac:dyDescent="0.25">
      <c r="F68" s="10"/>
      <c r="I68"/>
      <c r="J68" s="6"/>
      <c r="K68" s="7"/>
    </row>
    <row r="69" spans="6:11" x14ac:dyDescent="0.25">
      <c r="F69" s="10"/>
      <c r="I69"/>
      <c r="K69" s="21"/>
    </row>
    <row r="70" spans="6:11" x14ac:dyDescent="0.25">
      <c r="F70" s="10"/>
      <c r="I70"/>
      <c r="K70" s="21"/>
    </row>
    <row r="71" spans="6:11" x14ac:dyDescent="0.25">
      <c r="F71" s="10"/>
      <c r="I71"/>
      <c r="K71" s="21"/>
    </row>
    <row r="72" spans="6:11" x14ac:dyDescent="0.25">
      <c r="F72" s="10"/>
      <c r="I72"/>
      <c r="K72" s="21"/>
    </row>
    <row r="73" spans="6:11" x14ac:dyDescent="0.25">
      <c r="F73" s="10"/>
      <c r="I73"/>
      <c r="K73" s="21"/>
    </row>
  </sheetData>
  <autoFilter ref="A2:D20" xr:uid="{A1FE628A-F79B-4F11-ADAB-4C54FD633618}"/>
  <mergeCells count="15">
    <mergeCell ref="L5:N5"/>
    <mergeCell ref="A1:D1"/>
    <mergeCell ref="F1:G1"/>
    <mergeCell ref="I1:J1"/>
    <mergeCell ref="L1:N1"/>
    <mergeCell ref="L2:N2"/>
    <mergeCell ref="A42:D42"/>
    <mergeCell ref="A29:D29"/>
    <mergeCell ref="F20:G20"/>
    <mergeCell ref="F7:G7"/>
    <mergeCell ref="L9:N9"/>
    <mergeCell ref="A10:D10"/>
    <mergeCell ref="L10:L11"/>
    <mergeCell ref="F13:G13"/>
    <mergeCell ref="L13:L17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Pelegrino zoghaib</dc:creator>
  <cp:keywords/>
  <dc:description/>
  <cp:lastModifiedBy>Nelson Vieira Martins NVM</cp:lastModifiedBy>
  <cp:revision/>
  <dcterms:created xsi:type="dcterms:W3CDTF">2025-12-01T21:39:51Z</dcterms:created>
  <dcterms:modified xsi:type="dcterms:W3CDTF">2026-03-29T23:27:02Z</dcterms:modified>
  <cp:category/>
  <cp:contentStatus/>
</cp:coreProperties>
</file>